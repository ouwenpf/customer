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repository\customer\深燃\"/>
    </mc:Choice>
  </mc:AlternateContent>
  <xr:revisionPtr revIDLastSave="0" documentId="13_ncr:1_{A822F7DC-1249-4746-A334-5CBE826DE436}" xr6:coauthVersionLast="47" xr6:coauthVersionMax="47" xr10:uidLastSave="{00000000-0000-0000-0000-000000000000}"/>
  <bookViews>
    <workbookView xWindow="-110" yWindow="-110" windowWidth="19420" windowHeight="10300" firstSheet="2" activeTab="8" xr2:uid="{00000000-000D-0000-FFFF-FFFF00000000}"/>
  </bookViews>
  <sheets>
    <sheet name="Sheet1" sheetId="1" r:id="rId1"/>
    <sheet name="功能测试" sheetId="2" r:id="rId2"/>
    <sheet name="性能测试" sheetId="3" r:id="rId3"/>
    <sheet name="测试环境数据类型" sheetId="4" r:id="rId4"/>
    <sheet name="机器配置及环境信息" sheetId="5" r:id="rId5"/>
    <sheet name="配置项调整" sheetId="6" r:id="rId6"/>
    <sheet name="数据迁移" sheetId="7" r:id="rId7"/>
    <sheet name="todo" sheetId="9" r:id="rId8"/>
    <sheet name="VPN" sheetId="10" r:id="rId9"/>
  </sheets>
  <calcPr calcId="191029"/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<sst xmlns="http://schemas.openxmlformats.org/spreadsheetml/2006/main" count="290" uniqueCount="236">
  <si>
    <t>同步数据量</t>
  </si>
  <si>
    <t>stream同步速度</t>
  </si>
  <si>
    <t>RCR同步速度</t>
  </si>
  <si>
    <t>CDC同步速度</t>
  </si>
  <si>
    <t>tdengine</t>
  </si>
  <si>
    <t>70s（全量时间）</t>
  </si>
  <si>
    <t>70s</t>
  </si>
  <si>
    <t>90s</t>
  </si>
  <si>
    <t>760s（增量持续写的时间）</t>
  </si>
  <si>
    <t>760s</t>
  </si>
  <si>
    <t>780s</t>
  </si>
  <si>
    <t>数据类型</t>
  </si>
  <si>
    <t>kunlunbase</t>
  </si>
  <si>
    <t>备注</t>
  </si>
  <si>
    <t>timestamp</t>
  </si>
  <si>
    <t>timestamp(6)</t>
  </si>
  <si>
    <t>int</t>
  </si>
  <si>
    <t>float</t>
  </si>
  <si>
    <t>nchar</t>
  </si>
  <si>
    <t>varchar</t>
  </si>
  <si>
    <t>列个数</t>
  </si>
  <si>
    <t>任务总计耗时</t>
  </si>
  <si>
    <t>任务平均流量</t>
  </si>
  <si>
    <t>记录写入速度</t>
  </si>
  <si>
    <t>读出记录总数</t>
  </si>
  <si>
    <t>读写失败总数</t>
  </si>
  <si>
    <t>运行配置</t>
  </si>
  <si>
    <t>110s</t>
  </si>
  <si>
    <t>491.76KB/s</t>
  </si>
  <si>
    <t>8181rec/s</t>
  </si>
  <si>
    <t>Xms1g Xmx1g</t>
  </si>
  <si>
    <t>721.25KB/s</t>
  </si>
  <si>
    <t>12000rec/s</t>
  </si>
  <si>
    <t>721.35KB/s</t>
  </si>
  <si>
    <t>Xms2g Xmx2g</t>
  </si>
  <si>
    <t>150s</t>
  </si>
  <si>
    <t>721.45KB/s</t>
  </si>
  <si>
    <t>200s</t>
  </si>
  <si>
    <t>721.36KB/s</t>
  </si>
  <si>
    <t>Xms3g Xmx3g</t>
  </si>
  <si>
    <t>362s</t>
  </si>
  <si>
    <t>697.52KB/s</t>
  </si>
  <si>
    <t>11602rec/s</t>
  </si>
  <si>
    <t>Xms4g Xmx4g</t>
  </si>
  <si>
    <t>352s</t>
  </si>
  <si>
    <t>717.22KB/s</t>
  </si>
  <si>
    <t>11931rec/s</t>
  </si>
  <si>
    <t>622s</t>
  </si>
  <si>
    <t>695.87KB/s</t>
  </si>
  <si>
    <t>11575rec/s</t>
  </si>
  <si>
    <t>Xms7g Xmx7g</t>
  </si>
  <si>
    <t>621s</t>
  </si>
  <si>
    <t>696.95KB/s</t>
  </si>
  <si>
    <t>11594rec/s</t>
  </si>
  <si>
    <t>614s</t>
  </si>
  <si>
    <t>704.88KB/s</t>
  </si>
  <si>
    <t>11726rec/s</t>
  </si>
  <si>
    <t>627s</t>
  </si>
  <si>
    <t>690.26KB/s</t>
  </si>
  <si>
    <t>11483rec/s</t>
  </si>
  <si>
    <t>Xms8g Xmx8g</t>
  </si>
  <si>
    <t>533s</t>
  </si>
  <si>
    <t>699.28KB/s</t>
  </si>
  <si>
    <t>11632rec/s</t>
  </si>
  <si>
    <t>全量导出</t>
  </si>
  <si>
    <t>select * from tab &gt;&gt; tab.csv;</t>
  </si>
  <si>
    <t>252.701209s</t>
  </si>
  <si>
    <t>期间如果写入数据，观察到导出的数据会同步两份，如导出的是4G的文件大小，会出现8G的情况。</t>
  </si>
  <si>
    <t>tdengine数据示例</t>
  </si>
  <si>
    <t>kunlunbase数据示例</t>
  </si>
  <si>
    <t>TIMESTAMP</t>
  </si>
  <si>
    <t>TIMESTAMP(6)</t>
  </si>
  <si>
    <t>"2024-12-18 08:51:10.689"</t>
  </si>
  <si>
    <t>TINYINT</t>
  </si>
  <si>
    <t>smallint</t>
  </si>
  <si>
    <t>BINARY(N)</t>
  </si>
  <si>
    <t>varchar(N) collate "binary"</t>
  </si>
  <si>
    <t>"000000001001"</t>
  </si>
  <si>
    <t>DOUBLE</t>
  </si>
  <si>
    <t>double precision</t>
  </si>
  <si>
    <t>"0.000000000"</t>
  </si>
  <si>
    <t>INT</t>
  </si>
  <si>
    <t>integer</t>
  </si>
  <si>
    <t>NULL</t>
  </si>
  <si>
    <r>
      <rPr>
        <b/>
        <sz val="11"/>
        <color theme="1"/>
        <rFont val="宋体"/>
        <charset val="134"/>
        <scheme val="minor"/>
      </rPr>
      <t>52</t>
    </r>
    <r>
      <rPr>
        <sz val="11"/>
        <color theme="1"/>
        <rFont val="宋体"/>
        <charset val="134"/>
        <scheme val="minor"/>
      </rPr>
      <t xml:space="preserve">     24Vc 19G 2T磁盘
</t>
    </r>
    <r>
      <rPr>
        <b/>
        <sz val="11"/>
        <color theme="1"/>
        <rFont val="宋体"/>
        <charset val="134"/>
        <scheme val="minor"/>
      </rPr>
      <t>53 54</t>
    </r>
    <r>
      <rPr>
        <sz val="11"/>
        <color theme="1"/>
        <rFont val="宋体"/>
        <charset val="134"/>
        <scheme val="minor"/>
      </rPr>
      <t xml:space="preserve">  24Vc 16G 2T磁盘
</t>
    </r>
    <r>
      <rPr>
        <b/>
        <sz val="11"/>
        <color theme="1"/>
        <rFont val="宋体"/>
        <charset val="134"/>
        <scheme val="minor"/>
      </rPr>
      <t>55</t>
    </r>
    <r>
      <rPr>
        <sz val="11"/>
        <color theme="1"/>
        <rFont val="宋体"/>
        <charset val="134"/>
        <scheme val="minor"/>
      </rPr>
      <t xml:space="preserve">     8Vc 9.9G 2T磁盘
</t>
    </r>
    <r>
      <rPr>
        <b/>
        <sz val="11"/>
        <color theme="1"/>
        <rFont val="宋体"/>
        <charset val="134"/>
        <scheme val="minor"/>
      </rPr>
      <t xml:space="preserve">56 57  </t>
    </r>
    <r>
      <rPr>
        <sz val="11"/>
        <color theme="1"/>
        <rFont val="宋体"/>
        <charset val="134"/>
        <scheme val="minor"/>
      </rPr>
      <t>8Vc 5.6G 500G磁盘</t>
    </r>
  </si>
  <si>
    <t>生产环境1T数据，3节点</t>
  </si>
  <si>
    <t>规划：52-55部署集群 4个shard 1主两备
3节点  56 57两台机器用于部署CDC服务</t>
  </si>
  <si>
    <t>机器ip</t>
  </si>
  <si>
    <t>用途</t>
  </si>
  <si>
    <t>10.9.38.52</t>
  </si>
  <si>
    <t>集群的计算和存储节点、元数据集群、cluster_mgr</t>
  </si>
  <si>
    <t>10.9.38.53</t>
  </si>
  <si>
    <t>10.9.38.54</t>
  </si>
  <si>
    <t>10.9.38.55</t>
  </si>
  <si>
    <t>集群的计算和存储节点</t>
  </si>
  <si>
    <t>10.9.38.56</t>
  </si>
  <si>
    <t>CDC</t>
  </si>
  <si>
    <t>10.9.38.57</t>
  </si>
  <si>
    <t>数据中台下游kafka</t>
  </si>
  <si>
    <t>是否调整</t>
  </si>
  <si>
    <t>tdengine测试环境参数restfulRowLimit       10000000，来加大每次获取的数据量。</t>
  </si>
  <si>
    <t>否</t>
  </si>
  <si>
    <t>表名</t>
  </si>
  <si>
    <t>数据量（size:G/M）</t>
  </si>
  <si>
    <t>全备导入成功</t>
  </si>
  <si>
    <t>增量</t>
  </si>
  <si>
    <t>增量同步的时间间隔</t>
  </si>
  <si>
    <t>1.9G</t>
  </si>
  <si>
    <t>同步至2025-01-26 13:38:02.182</t>
  </si>
  <si>
    <t>31G</t>
  </si>
  <si>
    <t>meter_wh（4亿+）</t>
  </si>
  <si>
    <t>240G</t>
  </si>
  <si>
    <t>1（202401-202412）</t>
  </si>
  <si>
    <t>每个csv为每月的数据，约20G</t>
  </si>
  <si>
    <t>66M</t>
  </si>
  <si>
    <t>2.0G</t>
  </si>
  <si>
    <t>43G</t>
  </si>
  <si>
    <t>14M</t>
  </si>
  <si>
    <t>无增量，最后的时间为2024-03-13 10:19:51.215</t>
  </si>
  <si>
    <t>1（20240115）</t>
  </si>
  <si>
    <t>年前：每个csv为半个月的数据，约36G
年后：每个csv为1个月的数据，约72G</t>
  </si>
  <si>
    <t>17G</t>
  </si>
  <si>
    <t>26G</t>
  </si>
  <si>
    <t>3.6G</t>
  </si>
  <si>
    <t>425M</t>
  </si>
  <si>
    <t>同步至2025-01-31 11:04:50.572</t>
  </si>
  <si>
    <t>meter_et</t>
  </si>
  <si>
    <t>1.4G</t>
  </si>
  <si>
    <t>600G</t>
  </si>
  <si>
    <t>每个csv为每个月的数据，约50G</t>
  </si>
  <si>
    <t>4.4G</t>
  </si>
  <si>
    <t>meter_ek</t>
  </si>
  <si>
    <t>16M</t>
  </si>
  <si>
    <t>同步至2025-01-31 06:00:14.259</t>
  </si>
  <si>
    <t>3.9M</t>
  </si>
  <si>
    <t>111M</t>
  </si>
  <si>
    <t>meter_ez</t>
  </si>
  <si>
    <t>671M</t>
  </si>
  <si>
    <t>1 days</t>
  </si>
  <si>
    <t>209G</t>
  </si>
  <si>
    <t>11M</t>
  </si>
  <si>
    <t>同步至2025-01-31 09:03:18.924</t>
  </si>
  <si>
    <t>724M</t>
  </si>
  <si>
    <t>34G</t>
  </si>
  <si>
    <t>3.8M</t>
  </si>
  <si>
    <t>同步至2025-01-31 09:19:22.541</t>
  </si>
  <si>
    <t>7.1M</t>
  </si>
  <si>
    <t>同步至2025-01-31 09:45:07.053</t>
  </si>
  <si>
    <t>1.7G</t>
  </si>
  <si>
    <t>费表</t>
  </si>
  <si>
    <t>meter_jzq_yg</t>
  </si>
  <si>
    <t>meter_ec</t>
  </si>
  <si>
    <t>meter_jzq_wx</t>
  </si>
  <si>
    <t>meter_jzq_qj</t>
  </si>
  <si>
    <t>meter_</t>
  </si>
  <si>
    <t>meter_ej.csv</t>
  </si>
  <si>
    <t>meter_ew.csv</t>
  </si>
  <si>
    <t>monitor_device_meter_record.cs</t>
  </si>
  <si>
    <t>meter_em.csv</t>
  </si>
  <si>
    <t>monitor_meter_cp.csv</t>
  </si>
  <si>
    <t>meter_qh.csv</t>
  </si>
  <si>
    <t>meter_ex.csv</t>
  </si>
  <si>
    <t>meter_tj.csv</t>
  </si>
  <si>
    <t>meter_eh.csv</t>
  </si>
  <si>
    <t>meter_ey.csv</t>
  </si>
  <si>
    <t>meter_ef.csv</t>
  </si>
  <si>
    <t>meter_et.csv</t>
  </si>
  <si>
    <t>meter_el.csv</t>
  </si>
  <si>
    <t>meter_ez.csv</t>
  </si>
  <si>
    <t>meter_eg.csv</t>
  </si>
  <si>
    <t>meter_ee.csv</t>
  </si>
  <si>
    <t>meter_ei.csv</t>
  </si>
  <si>
    <t>meter_ek.csv</t>
  </si>
  <si>
    <t>meter_uw.csv</t>
  </si>
  <si>
    <t>meter_en.csv</t>
  </si>
  <si>
    <t>meter_eu.csv</t>
  </si>
  <si>
    <t>monitor_meter_xl.csv</t>
  </si>
  <si>
    <t>monitor_device_gwxl_record.csv</t>
  </si>
  <si>
    <t>编号</t>
  </si>
  <si>
    <t>内容</t>
  </si>
  <si>
    <t>操作</t>
  </si>
  <si>
    <t>是否完成</t>
  </si>
  <si>
    <t>导数，最后一张超级表2024年数据</t>
  </si>
  <si>
    <t>需要按照命令进行导数</t>
  </si>
  <si>
    <t>4台机器磁盘扩容52-55 56、57扩容成1T</t>
  </si>
  <si>
    <t>集群部署目录</t>
  </si>
  <si>
    <t>52机器：/data1/software/cloudnative</t>
  </si>
  <si>
    <t>tdengine备库导数目录</t>
  </si>
  <si>
    <t>43机器：/szgas/tddump/</t>
  </si>
  <si>
    <t>新增超级表需要迁移，
在kunlunbase创建同等类型的表结构参数</t>
  </si>
  <si>
    <t>其他数据库迁移</t>
  </si>
  <si>
    <t>XPanel上发起CDC同步</t>
  </si>
  <si>
    <t>其他年份数据是否需要迁移</t>
  </si>
  <si>
    <t>在磁盘扩容后操作</t>
  </si>
  <si>
    <t>VPN</t>
  </si>
  <si>
    <t>堡垒机</t>
  </si>
  <si>
    <t>用户：GYS-liuyongsong 
密码：3%HIfsiVHV6j#
验证的手机号：朱蔚山 17602259223</t>
    <phoneticPr fontId="5" type="noConversion"/>
  </si>
  <si>
    <t>堡垒机地址：https://10.9.6.65/
用户：GYS-zhuweishan
密码：Xd41zQ.M-O$1
验证的手机号：朱蔚山 17602259223</t>
    <phoneticPr fontId="5" type="noConversion"/>
  </si>
  <si>
    <t>864G</t>
    <phoneticPr fontId="5" type="noConversion"/>
  </si>
  <si>
    <t>测试环境TDengine版本：2.2.2.4</t>
    <phoneticPr fontId="5" type="noConversion"/>
  </si>
  <si>
    <t>内存是泡沫内存，自动动态扩展，使用不足后会自动扩容。</t>
    <phoneticPr fontId="5" type="noConversion"/>
  </si>
  <si>
    <t>meter_el</t>
    <phoneticPr fontId="5" type="noConversion"/>
  </si>
  <si>
    <t>meter_eu</t>
    <phoneticPr fontId="5" type="noConversion"/>
  </si>
  <si>
    <t>meter_ef</t>
    <phoneticPr fontId="5" type="noConversion"/>
  </si>
  <si>
    <t>堡垒机地址：https://10.9.6.65/
用户名: GYS-tanyueyun
密码: XYtan9.^H1aks6</t>
    <phoneticPr fontId="5" type="noConversion"/>
  </si>
  <si>
    <t>用户名:GYS-tanyueyun
XYtan9^H1aks6</t>
    <phoneticPr fontId="5" type="noConversion"/>
  </si>
  <si>
    <t>meter_qh</t>
    <phoneticPr fontId="5" type="noConversion"/>
  </si>
  <si>
    <t>需要停集群</t>
    <phoneticPr fontId="5" type="noConversion"/>
  </si>
  <si>
    <t>meter_ey</t>
    <phoneticPr fontId="5" type="noConversion"/>
  </si>
  <si>
    <t>monitor_meter_xl</t>
    <phoneticPr fontId="5" type="noConversion"/>
  </si>
  <si>
    <t>【kafka地址】
10.9.6.162:6667,10.9.6.163:6667,10.9.6.164:6667
10.9.6.162 szrq-bigdata-node1
10.9.6.163 szrq-bigdata-node2
10.9.6.164 szrq-bigdata-node3
必须hosts文件解析在cdc所在的服务器上面</t>
    <phoneticPr fontId="5" type="noConversion"/>
  </si>
  <si>
    <t>meter_jzq_hg</t>
    <phoneticPr fontId="5" type="noConversion"/>
  </si>
  <si>
    <t>meter_em表-cdc.log-查看缺少数据需要续传</t>
    <phoneticPr fontId="5" type="noConversion"/>
  </si>
  <si>
    <t>meter_em</t>
    <phoneticPr fontId="5" type="noConversion"/>
  </si>
  <si>
    <t>最后时间为2024-12-31 23:59:59.432</t>
    <phoneticPr fontId="5" type="noConversion"/>
  </si>
  <si>
    <t>meter_ei</t>
    <phoneticPr fontId="5" type="noConversion"/>
  </si>
  <si>
    <t>同步至2025-01-30 06:29:20.949</t>
    <phoneticPr fontId="5" type="noConversion"/>
  </si>
  <si>
    <t>meter_eh</t>
    <phoneticPr fontId="5" type="noConversion"/>
  </si>
  <si>
    <t>meter_ew</t>
    <phoneticPr fontId="5" type="noConversion"/>
  </si>
  <si>
    <t>meter_uw</t>
    <phoneticPr fontId="5" type="noConversion"/>
  </si>
  <si>
    <t>device_meter_record（20亿+）</t>
    <phoneticPr fontId="5" type="noConversion"/>
  </si>
  <si>
    <t>meter_ex</t>
    <phoneticPr fontId="5" type="noConversion"/>
  </si>
  <si>
    <t>同步至2025-01-30 23:19:44.281</t>
    <phoneticPr fontId="5" type="noConversion"/>
  </si>
  <si>
    <t>meter_ee</t>
    <phoneticPr fontId="5" type="noConversion"/>
  </si>
  <si>
    <t>同步至2025-01-31 10:50:46.433</t>
    <phoneticPr fontId="5" type="noConversion"/>
  </si>
  <si>
    <t>同步至2025-01-31 11:31:36.399</t>
    <phoneticPr fontId="5" type="noConversion"/>
  </si>
  <si>
    <t>meter_ej</t>
    <phoneticPr fontId="5" type="noConversion"/>
  </si>
  <si>
    <t>meter_en</t>
    <phoneticPr fontId="5" type="noConversion"/>
  </si>
  <si>
    <t>monitor_device_meter_record</t>
    <phoneticPr fontId="5" type="noConversion"/>
  </si>
  <si>
    <t>monitor_device_gwxl_record</t>
    <phoneticPr fontId="5" type="noConversion"/>
  </si>
  <si>
    <t>monitor_meter_cp</t>
    <phoneticPr fontId="5" type="noConversion"/>
  </si>
  <si>
    <t>meter_eq</t>
    <phoneticPr fontId="5" type="noConversion"/>
  </si>
  <si>
    <t>meter_tj</t>
    <phoneticPr fontId="5" type="noConversion"/>
  </si>
  <si>
    <t>meter_eg</t>
    <phoneticPr fontId="5" type="noConversion"/>
  </si>
  <si>
    <t>meter_wp（11亿+）</t>
    <phoneticPr fontId="5" type="noConversion"/>
  </si>
  <si>
    <t>mysql协议：set extra_syntax_mode='TdEngine';
           set default_storage_engine='rocksdb';
SET MAX_BINARY_DISPLAY_WIDTH 10000;
SHOW QUERIES;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</si>
</sst>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\-d\ h:mm"/>
    <numFmt numFmtId="177" formatCode="0.0000000000000000_ "/>
  </numFmts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10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27" sqref="C27"/>
    </sheetView>
  </sheetViews>
  <sheetFormatPr defaultColWidth="9" defaultRowHeight="14" x14ac:dyDescent="0.25"/>
  <cols>
    <col min="1" max="1" width="10.36328125" style="3" customWidth="1"/>
    <col min="2" max="2" width="11.81640625" style="3" customWidth="1"/>
    <col min="3" max="3" width="27.54296875" style="3" customWidth="1"/>
    <col min="4" max="4" width="13.6328125" style="3" customWidth="1"/>
    <col min="5" max="5" width="12.90625" style="3" customWidth="1"/>
  </cols>
  <sheetData>
    <row r="1" spans="1:5" x14ac:dyDescent="0.25">
      <c r="B1" s="18" t="s">
        <v>0</v>
      </c>
      <c r="C1" s="18" t="s">
        <v>1</v>
      </c>
      <c r="D1" s="18" t="s">
        <v>2</v>
      </c>
      <c r="E1" s="18" t="s">
        <v>3</v>
      </c>
    </row>
    <row r="2" spans="1:5" x14ac:dyDescent="0.25">
      <c r="A2" s="23" t="s">
        <v>4</v>
      </c>
      <c r="B2" s="3">
        <v>1059543</v>
      </c>
      <c r="C2" s="3" t="s">
        <v>5</v>
      </c>
      <c r="D2" s="3" t="s">
        <v>6</v>
      </c>
      <c r="E2" s="3" t="s">
        <v>7</v>
      </c>
    </row>
    <row r="3" spans="1:5" x14ac:dyDescent="0.25">
      <c r="B3" s="3">
        <f>2116069-1059543</f>
        <v>1056526</v>
      </c>
      <c r="C3" s="3" t="s">
        <v>8</v>
      </c>
      <c r="D3" s="3" t="s">
        <v>9</v>
      </c>
      <c r="E3" s="3" t="s">
        <v>10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G13" sqref="G13"/>
    </sheetView>
  </sheetViews>
  <sheetFormatPr defaultColWidth="9" defaultRowHeight="17.5" x14ac:dyDescent="0.25"/>
  <cols>
    <col min="1" max="1" width="13.6328125" style="19" customWidth="1"/>
    <col min="2" max="2" width="17.90625" style="19" customWidth="1"/>
    <col min="3" max="3" width="9" style="19"/>
  </cols>
  <sheetData>
    <row r="1" spans="1:3" x14ac:dyDescent="0.25">
      <c r="A1" s="19" t="s">
        <v>11</v>
      </c>
    </row>
    <row r="2" spans="1:3" x14ac:dyDescent="0.25">
      <c r="A2" s="20" t="s">
        <v>4</v>
      </c>
      <c r="B2" s="21" t="s">
        <v>12</v>
      </c>
      <c r="C2" s="22" t="s">
        <v>13</v>
      </c>
    </row>
    <row r="3" spans="1:3" x14ac:dyDescent="0.25">
      <c r="A3" s="19" t="s">
        <v>14</v>
      </c>
      <c r="B3" s="19" t="s">
        <v>15</v>
      </c>
    </row>
    <row r="4" spans="1:3" x14ac:dyDescent="0.25">
      <c r="A4" s="19" t="s">
        <v>16</v>
      </c>
      <c r="B4" s="19" t="s">
        <v>16</v>
      </c>
    </row>
    <row r="5" spans="1:3" x14ac:dyDescent="0.25">
      <c r="A5" s="19" t="s">
        <v>17</v>
      </c>
      <c r="B5" s="19" t="s">
        <v>17</v>
      </c>
    </row>
    <row r="6" spans="1:3" x14ac:dyDescent="0.25">
      <c r="A6" s="19" t="s">
        <v>18</v>
      </c>
      <c r="B6" s="19" t="s">
        <v>19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opLeftCell="A7" workbookViewId="0">
      <selection activeCell="J27" sqref="J27"/>
    </sheetView>
  </sheetViews>
  <sheetFormatPr defaultColWidth="9" defaultRowHeight="14" x14ac:dyDescent="0.25"/>
  <cols>
    <col min="1" max="1" width="9" style="3"/>
    <col min="2" max="6" width="14" style="3" customWidth="1"/>
    <col min="7" max="7" width="9" style="3"/>
    <col min="8" max="8" width="18.08984375" customWidth="1"/>
  </cols>
  <sheetData>
    <row r="1" spans="1:8" x14ac:dyDescent="0.25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  <c r="F1" s="18" t="s">
        <v>25</v>
      </c>
      <c r="G1" s="18" t="s">
        <v>13</v>
      </c>
      <c r="H1" s="1" t="s">
        <v>26</v>
      </c>
    </row>
    <row r="2" spans="1:8" x14ac:dyDescent="0.25">
      <c r="A2" s="3">
        <v>8</v>
      </c>
      <c r="B2" s="3" t="s">
        <v>27</v>
      </c>
      <c r="C2" s="3" t="s">
        <v>28</v>
      </c>
      <c r="D2" s="3" t="s">
        <v>29</v>
      </c>
      <c r="E2" s="3">
        <v>900001</v>
      </c>
      <c r="F2" s="3">
        <v>0</v>
      </c>
      <c r="H2" t="s">
        <v>30</v>
      </c>
    </row>
    <row r="3" spans="1:8" x14ac:dyDescent="0.25">
      <c r="B3" s="3" t="s">
        <v>7</v>
      </c>
      <c r="C3" s="3" t="s">
        <v>31</v>
      </c>
      <c r="D3" s="3" t="s">
        <v>32</v>
      </c>
      <c r="E3" s="3">
        <v>1080001</v>
      </c>
      <c r="F3" s="3">
        <v>0</v>
      </c>
      <c r="H3" t="s">
        <v>30</v>
      </c>
    </row>
    <row r="4" spans="1:8" x14ac:dyDescent="0.25">
      <c r="B4" s="3" t="s">
        <v>27</v>
      </c>
      <c r="C4" s="3" t="s">
        <v>33</v>
      </c>
      <c r="D4" s="3" t="s">
        <v>32</v>
      </c>
      <c r="E4" s="3">
        <v>1320000</v>
      </c>
      <c r="F4" s="3">
        <v>0</v>
      </c>
      <c r="H4" t="s">
        <v>34</v>
      </c>
    </row>
    <row r="5" spans="1:8" x14ac:dyDescent="0.25">
      <c r="B5" s="3" t="s">
        <v>35</v>
      </c>
      <c r="C5" s="3" t="s">
        <v>36</v>
      </c>
      <c r="D5" s="3" t="s">
        <v>32</v>
      </c>
      <c r="E5" s="3">
        <v>1800000</v>
      </c>
      <c r="F5" s="3">
        <v>0</v>
      </c>
      <c r="H5" t="s">
        <v>34</v>
      </c>
    </row>
    <row r="6" spans="1:8" x14ac:dyDescent="0.25">
      <c r="B6" s="3" t="s">
        <v>37</v>
      </c>
      <c r="C6" s="3" t="s">
        <v>38</v>
      </c>
      <c r="D6" s="3" t="s">
        <v>32</v>
      </c>
      <c r="E6" s="3">
        <v>2400000</v>
      </c>
      <c r="F6" s="3">
        <v>0</v>
      </c>
      <c r="H6" t="s">
        <v>39</v>
      </c>
    </row>
    <row r="7" spans="1:8" x14ac:dyDescent="0.25">
      <c r="B7" s="3" t="s">
        <v>40</v>
      </c>
      <c r="C7" s="3" t="s">
        <v>41</v>
      </c>
      <c r="D7" s="3" t="s">
        <v>42</v>
      </c>
      <c r="E7" s="3">
        <v>4200000</v>
      </c>
      <c r="F7" s="3">
        <v>0</v>
      </c>
      <c r="H7" t="s">
        <v>43</v>
      </c>
    </row>
    <row r="8" spans="1:8" x14ac:dyDescent="0.25">
      <c r="B8" s="3" t="s">
        <v>44</v>
      </c>
      <c r="C8" s="3" t="s">
        <v>45</v>
      </c>
      <c r="D8" s="3" t="s">
        <v>46</v>
      </c>
      <c r="E8" s="3">
        <v>4200000</v>
      </c>
      <c r="F8" s="3">
        <v>0</v>
      </c>
      <c r="H8" t="s">
        <v>43</v>
      </c>
    </row>
    <row r="9" spans="1:8" x14ac:dyDescent="0.25">
      <c r="B9" s="3" t="s">
        <v>47</v>
      </c>
      <c r="C9" s="3" t="s">
        <v>48</v>
      </c>
      <c r="D9" s="3" t="s">
        <v>49</v>
      </c>
      <c r="E9" s="3">
        <v>7200000</v>
      </c>
      <c r="F9" s="3">
        <v>0</v>
      </c>
      <c r="H9" t="s">
        <v>50</v>
      </c>
    </row>
    <row r="10" spans="1:8" x14ac:dyDescent="0.25">
      <c r="B10" s="3" t="s">
        <v>51</v>
      </c>
      <c r="C10" s="3" t="s">
        <v>52</v>
      </c>
      <c r="D10" s="3" t="s">
        <v>53</v>
      </c>
      <c r="E10" s="3">
        <v>7200000</v>
      </c>
      <c r="F10" s="3">
        <v>0</v>
      </c>
      <c r="H10" t="s">
        <v>50</v>
      </c>
    </row>
    <row r="11" spans="1:8" x14ac:dyDescent="0.25">
      <c r="B11" s="3" t="s">
        <v>54</v>
      </c>
      <c r="C11" s="3" t="s">
        <v>55</v>
      </c>
      <c r="D11" s="3" t="s">
        <v>56</v>
      </c>
      <c r="E11" s="3">
        <v>7200000</v>
      </c>
      <c r="F11" s="3">
        <v>0</v>
      </c>
      <c r="H11" t="s">
        <v>50</v>
      </c>
    </row>
    <row r="12" spans="1:8" x14ac:dyDescent="0.25">
      <c r="B12" s="3" t="s">
        <v>57</v>
      </c>
      <c r="C12" s="3" t="s">
        <v>58</v>
      </c>
      <c r="D12" s="3" t="s">
        <v>59</v>
      </c>
      <c r="E12" s="3">
        <v>7200000</v>
      </c>
      <c r="F12" s="3">
        <v>0</v>
      </c>
      <c r="H12" t="s">
        <v>60</v>
      </c>
    </row>
    <row r="13" spans="1:8" x14ac:dyDescent="0.25">
      <c r="B13" s="3" t="s">
        <v>61</v>
      </c>
      <c r="C13" s="3" t="s">
        <v>62</v>
      </c>
      <c r="D13" s="3" t="s">
        <v>63</v>
      </c>
      <c r="E13" s="3">
        <v>6199999</v>
      </c>
      <c r="F13" s="3">
        <v>0</v>
      </c>
      <c r="H13" t="s">
        <v>60</v>
      </c>
    </row>
    <row r="17" spans="1:1" x14ac:dyDescent="0.25">
      <c r="A17" s="18" t="s">
        <v>64</v>
      </c>
    </row>
    <row r="18" spans="1:1" x14ac:dyDescent="0.25">
      <c r="A18" s="3" t="s">
        <v>65</v>
      </c>
    </row>
    <row r="19" spans="1:1" x14ac:dyDescent="0.25">
      <c r="A19" s="3" t="s">
        <v>66</v>
      </c>
    </row>
    <row r="20" spans="1:1" x14ac:dyDescent="0.25">
      <c r="A20" s="3" t="s">
        <v>67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12" sqref="C12"/>
    </sheetView>
  </sheetViews>
  <sheetFormatPr defaultColWidth="8.7265625" defaultRowHeight="14" x14ac:dyDescent="0.25"/>
  <cols>
    <col min="1" max="1" width="10.6328125" style="3" customWidth="1"/>
    <col min="2" max="2" width="30.90625" style="3" customWidth="1"/>
    <col min="3" max="3" width="28.6328125" style="3" customWidth="1"/>
    <col min="4" max="4" width="29.81640625" style="3" customWidth="1"/>
  </cols>
  <sheetData>
    <row r="1" spans="1:4" x14ac:dyDescent="0.25">
      <c r="A1" s="14" t="s">
        <v>4</v>
      </c>
      <c r="B1" s="15" t="s">
        <v>12</v>
      </c>
      <c r="C1" s="14" t="s">
        <v>68</v>
      </c>
      <c r="D1" s="15" t="s">
        <v>69</v>
      </c>
    </row>
    <row r="2" spans="1:4" x14ac:dyDescent="0.25">
      <c r="A2" s="3" t="s">
        <v>70</v>
      </c>
      <c r="B2" s="3" t="s">
        <v>71</v>
      </c>
      <c r="C2" s="16" t="s">
        <v>72</v>
      </c>
      <c r="D2" s="16" t="s">
        <v>72</v>
      </c>
    </row>
    <row r="3" spans="1:4" x14ac:dyDescent="0.25">
      <c r="A3" s="3" t="s">
        <v>73</v>
      </c>
      <c r="B3" s="3" t="s">
        <v>74</v>
      </c>
      <c r="C3" s="3">
        <v>0</v>
      </c>
      <c r="D3" s="3">
        <v>0</v>
      </c>
    </row>
    <row r="4" spans="1:4" x14ac:dyDescent="0.25">
      <c r="A4" s="3" t="s">
        <v>75</v>
      </c>
      <c r="B4" s="3" t="s">
        <v>76</v>
      </c>
      <c r="C4" s="3" t="s">
        <v>77</v>
      </c>
      <c r="D4" s="3" t="s">
        <v>77</v>
      </c>
    </row>
    <row r="5" spans="1:4" x14ac:dyDescent="0.25">
      <c r="A5" s="3" t="s">
        <v>78</v>
      </c>
      <c r="B5" s="3" t="s">
        <v>79</v>
      </c>
      <c r="C5" s="17" t="s">
        <v>80</v>
      </c>
      <c r="D5" s="3">
        <v>0</v>
      </c>
    </row>
    <row r="6" spans="1:4" x14ac:dyDescent="0.25">
      <c r="A6" s="3" t="s">
        <v>81</v>
      </c>
      <c r="B6" s="3" t="s">
        <v>82</v>
      </c>
      <c r="C6" s="3">
        <v>-1</v>
      </c>
      <c r="D6" s="3">
        <v>-1</v>
      </c>
    </row>
    <row r="7" spans="1:4" x14ac:dyDescent="0.25">
      <c r="A7" s="3" t="s">
        <v>83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topLeftCell="A7" workbookViewId="0">
      <selection activeCell="A17" sqref="A17"/>
    </sheetView>
  </sheetViews>
  <sheetFormatPr defaultColWidth="8.7265625" defaultRowHeight="14" x14ac:dyDescent="0.25"/>
  <cols>
    <col min="1" max="1" width="60.36328125" customWidth="1"/>
    <col min="2" max="2" width="59" customWidth="1"/>
  </cols>
  <sheetData>
    <row r="1" spans="1:2" ht="56" x14ac:dyDescent="0.25">
      <c r="A1" s="12" t="s">
        <v>84</v>
      </c>
      <c r="B1" s="25" t="s">
        <v>200</v>
      </c>
    </row>
    <row r="2" spans="1:2" x14ac:dyDescent="0.25">
      <c r="A2" s="25" t="s">
        <v>199</v>
      </c>
    </row>
    <row r="3" spans="1:2" x14ac:dyDescent="0.25">
      <c r="A3" t="s">
        <v>85</v>
      </c>
    </row>
    <row r="4" spans="1:2" x14ac:dyDescent="0.25">
      <c r="A4" s="13"/>
    </row>
    <row r="5" spans="1:2" ht="28" x14ac:dyDescent="0.25">
      <c r="A5" s="2" t="s">
        <v>86</v>
      </c>
    </row>
    <row r="7" spans="1:2" x14ac:dyDescent="0.25">
      <c r="A7" s="1" t="s">
        <v>87</v>
      </c>
      <c r="B7" t="s">
        <v>88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90</v>
      </c>
    </row>
    <row r="10" spans="1:2" x14ac:dyDescent="0.25">
      <c r="A10" t="s">
        <v>92</v>
      </c>
      <c r="B10" t="s">
        <v>90</v>
      </c>
    </row>
    <row r="11" spans="1:2" x14ac:dyDescent="0.25">
      <c r="A11" t="s">
        <v>93</v>
      </c>
      <c r="B11" t="s">
        <v>94</v>
      </c>
    </row>
    <row r="12" spans="1:2" x14ac:dyDescent="0.25">
      <c r="A12" t="s">
        <v>95</v>
      </c>
      <c r="B12" t="s">
        <v>96</v>
      </c>
    </row>
    <row r="13" spans="1:2" x14ac:dyDescent="0.25">
      <c r="A13" t="s">
        <v>97</v>
      </c>
      <c r="B13" t="s">
        <v>96</v>
      </c>
    </row>
    <row r="16" spans="1:2" x14ac:dyDescent="0.25">
      <c r="A16" s="1" t="s">
        <v>98</v>
      </c>
    </row>
    <row r="17" spans="1:1" ht="84" x14ac:dyDescent="0.25">
      <c r="A17" s="24" t="s">
        <v>210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20" sqref="A20"/>
    </sheetView>
  </sheetViews>
  <sheetFormatPr defaultColWidth="8.7265625" defaultRowHeight="14" x14ac:dyDescent="0.25"/>
  <cols>
    <col min="1" max="1" width="105.54296875" customWidth="1"/>
    <col min="2" max="2" width="9.54296875" customWidth="1"/>
  </cols>
  <sheetData>
    <row r="1" spans="1:2" x14ac:dyDescent="0.25">
      <c r="A1" t="s">
        <v>4</v>
      </c>
      <c r="B1" s="1" t="s">
        <v>99</v>
      </c>
    </row>
    <row r="2" spans="1:2" x14ac:dyDescent="0.25">
      <c r="A2" t="s">
        <v>100</v>
      </c>
      <c r="B2" t="s">
        <v>101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"/>
  <sheetViews>
    <sheetView zoomScale="85" zoomScaleNormal="85" workbookViewId="0">
      <pane ySplit="1" topLeftCell="A26" activePane="bottomLeft" state="frozen"/>
      <selection pane="bottomLeft" activeCell="D15" sqref="D15"/>
    </sheetView>
  </sheetViews>
  <sheetFormatPr defaultColWidth="8.7265625" defaultRowHeight="14" x14ac:dyDescent="0.25"/>
  <cols>
    <col min="1" max="1" width="34.54296875" customWidth="1"/>
    <col min="2" max="2" width="23.7265625" customWidth="1"/>
    <col min="3" max="3" width="20.81640625" style="3" customWidth="1"/>
    <col min="4" max="4" width="55.08984375" style="3" customWidth="1"/>
    <col min="5" max="5" width="27.453125" customWidth="1"/>
    <col min="6" max="6" width="34.6328125" customWidth="1"/>
  </cols>
  <sheetData>
    <row r="1" spans="1:6" ht="17.5" x14ac:dyDescent="0.25">
      <c r="A1" s="5" t="s">
        <v>102</v>
      </c>
      <c r="B1" s="6" t="s">
        <v>103</v>
      </c>
      <c r="C1" s="7" t="s">
        <v>104</v>
      </c>
      <c r="D1" s="8" t="s">
        <v>105</v>
      </c>
      <c r="E1" s="9" t="s">
        <v>106</v>
      </c>
      <c r="F1" s="10" t="s">
        <v>13</v>
      </c>
    </row>
    <row r="2" spans="1:6" x14ac:dyDescent="0.25">
      <c r="A2" s="25" t="s">
        <v>208</v>
      </c>
      <c r="B2" t="s">
        <v>107</v>
      </c>
      <c r="C2" s="3">
        <v>1</v>
      </c>
      <c r="D2" s="3" t="s">
        <v>108</v>
      </c>
    </row>
    <row r="3" spans="1:6" x14ac:dyDescent="0.25">
      <c r="A3" s="25" t="s">
        <v>213</v>
      </c>
      <c r="B3" t="s">
        <v>109</v>
      </c>
      <c r="C3" s="3">
        <v>1</v>
      </c>
      <c r="D3" s="26" t="s">
        <v>212</v>
      </c>
    </row>
    <row r="4" spans="1:6" x14ac:dyDescent="0.25">
      <c r="A4" s="1" t="s">
        <v>110</v>
      </c>
      <c r="B4" t="s">
        <v>111</v>
      </c>
      <c r="C4" s="3" t="s">
        <v>112</v>
      </c>
      <c r="D4" s="26" t="s">
        <v>214</v>
      </c>
      <c r="F4" t="s">
        <v>113</v>
      </c>
    </row>
    <row r="5" spans="1:6" x14ac:dyDescent="0.25">
      <c r="A5" s="25" t="s">
        <v>215</v>
      </c>
      <c r="B5" t="s">
        <v>114</v>
      </c>
      <c r="C5" s="3">
        <v>1</v>
      </c>
      <c r="D5" s="26" t="s">
        <v>216</v>
      </c>
    </row>
    <row r="6" spans="1:6" x14ac:dyDescent="0.25">
      <c r="A6" s="25" t="s">
        <v>217</v>
      </c>
      <c r="B6" t="s">
        <v>115</v>
      </c>
      <c r="C6" s="3">
        <v>1</v>
      </c>
    </row>
    <row r="7" spans="1:6" x14ac:dyDescent="0.25">
      <c r="A7" s="25" t="s">
        <v>218</v>
      </c>
      <c r="B7" t="s">
        <v>116</v>
      </c>
      <c r="C7" s="3">
        <v>1</v>
      </c>
    </row>
    <row r="8" spans="1:6" x14ac:dyDescent="0.25">
      <c r="A8" s="25" t="s">
        <v>219</v>
      </c>
      <c r="B8" t="s">
        <v>117</v>
      </c>
      <c r="C8" s="3">
        <v>1</v>
      </c>
      <c r="D8" s="3" t="s">
        <v>118</v>
      </c>
    </row>
    <row r="9" spans="1:6" ht="28" x14ac:dyDescent="0.25">
      <c r="A9" s="27" t="s">
        <v>220</v>
      </c>
      <c r="B9" s="25" t="s">
        <v>198</v>
      </c>
      <c r="C9" s="3" t="s">
        <v>119</v>
      </c>
      <c r="F9" s="2" t="s">
        <v>120</v>
      </c>
    </row>
    <row r="10" spans="1:6" x14ac:dyDescent="0.25">
      <c r="A10" s="25" t="s">
        <v>206</v>
      </c>
      <c r="B10" t="s">
        <v>121</v>
      </c>
      <c r="C10" s="3">
        <v>1</v>
      </c>
    </row>
    <row r="11" spans="1:6" x14ac:dyDescent="0.25">
      <c r="A11" s="25" t="s">
        <v>230</v>
      </c>
      <c r="B11" t="s">
        <v>122</v>
      </c>
      <c r="C11" s="3">
        <v>1</v>
      </c>
    </row>
    <row r="12" spans="1:6" x14ac:dyDescent="0.25">
      <c r="A12" s="25" t="s">
        <v>232</v>
      </c>
      <c r="B12" t="s">
        <v>123</v>
      </c>
      <c r="C12" s="3">
        <v>1</v>
      </c>
    </row>
    <row r="13" spans="1:6" x14ac:dyDescent="0.25">
      <c r="A13" s="25" t="s">
        <v>233</v>
      </c>
      <c r="B13" t="s">
        <v>124</v>
      </c>
      <c r="C13" s="3">
        <v>1</v>
      </c>
      <c r="D13" s="3" t="s">
        <v>125</v>
      </c>
    </row>
    <row r="14" spans="1:6" x14ac:dyDescent="0.25">
      <c r="A14" t="s">
        <v>126</v>
      </c>
      <c r="B14" t="s">
        <v>127</v>
      </c>
      <c r="C14" s="3">
        <v>1</v>
      </c>
    </row>
    <row r="15" spans="1:6" x14ac:dyDescent="0.25">
      <c r="A15" s="27" t="s">
        <v>234</v>
      </c>
      <c r="B15" t="s">
        <v>128</v>
      </c>
      <c r="C15" s="3" t="s">
        <v>112</v>
      </c>
      <c r="F15" t="s">
        <v>129</v>
      </c>
    </row>
    <row r="16" spans="1:6" x14ac:dyDescent="0.25">
      <c r="A16" s="25" t="s">
        <v>221</v>
      </c>
      <c r="B16" t="s">
        <v>130</v>
      </c>
      <c r="C16" s="3">
        <v>1</v>
      </c>
    </row>
    <row r="17" spans="1:5" x14ac:dyDescent="0.25">
      <c r="A17" t="s">
        <v>131</v>
      </c>
      <c r="B17" t="s">
        <v>132</v>
      </c>
      <c r="C17" s="3">
        <v>1</v>
      </c>
      <c r="D17" s="3" t="s">
        <v>133</v>
      </c>
    </row>
    <row r="18" spans="1:5" x14ac:dyDescent="0.25">
      <c r="A18" s="25" t="s">
        <v>209</v>
      </c>
      <c r="B18" t="s">
        <v>134</v>
      </c>
      <c r="C18" s="3">
        <v>1</v>
      </c>
      <c r="D18" s="26" t="s">
        <v>222</v>
      </c>
    </row>
    <row r="19" spans="1:5" x14ac:dyDescent="0.25">
      <c r="A19" s="25" t="s">
        <v>223</v>
      </c>
      <c r="B19" t="s">
        <v>135</v>
      </c>
      <c r="C19" s="3">
        <v>1</v>
      </c>
      <c r="D19" s="26" t="s">
        <v>224</v>
      </c>
    </row>
    <row r="20" spans="1:5" x14ac:dyDescent="0.25">
      <c r="A20" t="s">
        <v>136</v>
      </c>
      <c r="B20" t="s">
        <v>137</v>
      </c>
      <c r="C20" s="3">
        <v>1</v>
      </c>
      <c r="D20" s="26" t="s">
        <v>225</v>
      </c>
      <c r="E20" t="s">
        <v>138</v>
      </c>
    </row>
    <row r="21" spans="1:5" x14ac:dyDescent="0.25">
      <c r="A21" s="25" t="s">
        <v>226</v>
      </c>
      <c r="B21" t="s">
        <v>139</v>
      </c>
      <c r="C21" s="3">
        <v>1</v>
      </c>
    </row>
    <row r="22" spans="1:5" x14ac:dyDescent="0.25">
      <c r="A22" s="25" t="s">
        <v>227</v>
      </c>
      <c r="B22" t="s">
        <v>140</v>
      </c>
      <c r="C22" s="3">
        <v>1</v>
      </c>
      <c r="D22" s="3" t="s">
        <v>141</v>
      </c>
    </row>
    <row r="23" spans="1:5" x14ac:dyDescent="0.25">
      <c r="A23" s="25" t="s">
        <v>201</v>
      </c>
      <c r="B23" t="s">
        <v>142</v>
      </c>
      <c r="C23" s="3">
        <v>1</v>
      </c>
    </row>
    <row r="24" spans="1:5" x14ac:dyDescent="0.25">
      <c r="A24" s="25" t="s">
        <v>228</v>
      </c>
      <c r="B24" t="s">
        <v>143</v>
      </c>
      <c r="C24" s="3">
        <v>1</v>
      </c>
    </row>
    <row r="25" spans="1:5" x14ac:dyDescent="0.25">
      <c r="A25" s="25" t="s">
        <v>229</v>
      </c>
      <c r="B25" t="s">
        <v>144</v>
      </c>
      <c r="C25" s="3">
        <v>1</v>
      </c>
      <c r="D25" s="3" t="s">
        <v>145</v>
      </c>
    </row>
    <row r="26" spans="1:5" x14ac:dyDescent="0.25">
      <c r="A26" s="25" t="s">
        <v>202</v>
      </c>
      <c r="B26" t="s">
        <v>146</v>
      </c>
      <c r="C26" s="3">
        <v>1</v>
      </c>
      <c r="D26" s="3" t="s">
        <v>147</v>
      </c>
    </row>
    <row r="27" spans="1:5" x14ac:dyDescent="0.25">
      <c r="A27" s="25" t="s">
        <v>203</v>
      </c>
      <c r="B27" t="s">
        <v>148</v>
      </c>
      <c r="C27" s="3">
        <v>1</v>
      </c>
    </row>
    <row r="28" spans="1:5" x14ac:dyDescent="0.25">
      <c r="A28" s="25" t="s">
        <v>211</v>
      </c>
      <c r="B28" s="11" t="s">
        <v>149</v>
      </c>
    </row>
    <row r="29" spans="1:5" x14ac:dyDescent="0.25">
      <c r="A29" s="25" t="s">
        <v>231</v>
      </c>
      <c r="B29" s="11" t="s">
        <v>149</v>
      </c>
    </row>
    <row r="30" spans="1:5" x14ac:dyDescent="0.25">
      <c r="A30" t="s">
        <v>150</v>
      </c>
      <c r="B30" s="11" t="s">
        <v>149</v>
      </c>
    </row>
    <row r="31" spans="1:5" x14ac:dyDescent="0.25">
      <c r="A31" t="s">
        <v>151</v>
      </c>
      <c r="B31" s="11" t="s">
        <v>149</v>
      </c>
    </row>
    <row r="32" spans="1:5" x14ac:dyDescent="0.25">
      <c r="A32" t="s">
        <v>152</v>
      </c>
      <c r="B32" s="11" t="s">
        <v>149</v>
      </c>
    </row>
    <row r="33" spans="1:5" x14ac:dyDescent="0.25">
      <c r="A33" t="s">
        <v>153</v>
      </c>
      <c r="B33" s="11" t="s">
        <v>149</v>
      </c>
    </row>
    <row r="34" spans="1:5" x14ac:dyDescent="0.25">
      <c r="A34" t="s">
        <v>154</v>
      </c>
      <c r="B34" s="11" t="s">
        <v>149</v>
      </c>
      <c r="D34" s="3" t="s">
        <v>155</v>
      </c>
      <c r="E34" t="s">
        <v>139</v>
      </c>
    </row>
    <row r="35" spans="1:5" x14ac:dyDescent="0.25">
      <c r="D35" s="3" t="s">
        <v>156</v>
      </c>
      <c r="E35" t="s">
        <v>116</v>
      </c>
    </row>
    <row r="36" spans="1:5" x14ac:dyDescent="0.25">
      <c r="D36" s="3" t="s">
        <v>157</v>
      </c>
      <c r="E36" t="s">
        <v>143</v>
      </c>
    </row>
    <row r="37" spans="1:5" x14ac:dyDescent="0.25">
      <c r="D37" s="3" t="s">
        <v>158</v>
      </c>
      <c r="E37" t="s">
        <v>109</v>
      </c>
    </row>
    <row r="38" spans="1:5" x14ac:dyDescent="0.25">
      <c r="D38" s="3" t="s">
        <v>159</v>
      </c>
      <c r="E38" t="s">
        <v>122</v>
      </c>
    </row>
    <row r="39" spans="1:5" x14ac:dyDescent="0.25">
      <c r="D39" s="3" t="s">
        <v>160</v>
      </c>
      <c r="E39" t="s">
        <v>121</v>
      </c>
    </row>
    <row r="40" spans="1:5" x14ac:dyDescent="0.25">
      <c r="D40" s="3" t="s">
        <v>161</v>
      </c>
      <c r="E40" t="s">
        <v>130</v>
      </c>
    </row>
    <row r="41" spans="1:5" x14ac:dyDescent="0.25">
      <c r="D41" s="3" t="s">
        <v>162</v>
      </c>
      <c r="E41" t="s">
        <v>123</v>
      </c>
    </row>
    <row r="42" spans="1:5" x14ac:dyDescent="0.25">
      <c r="D42" s="3" t="s">
        <v>163</v>
      </c>
      <c r="E42" t="s">
        <v>115</v>
      </c>
    </row>
    <row r="43" spans="1:5" x14ac:dyDescent="0.25">
      <c r="D43" s="3" t="s">
        <v>164</v>
      </c>
      <c r="E43" t="s">
        <v>107</v>
      </c>
    </row>
    <row r="44" spans="1:5" x14ac:dyDescent="0.25">
      <c r="D44" s="3" t="s">
        <v>165</v>
      </c>
      <c r="E44" t="s">
        <v>148</v>
      </c>
    </row>
    <row r="45" spans="1:5" x14ac:dyDescent="0.25">
      <c r="D45" s="3" t="s">
        <v>166</v>
      </c>
      <c r="E45" t="s">
        <v>127</v>
      </c>
    </row>
    <row r="46" spans="1:5" x14ac:dyDescent="0.25">
      <c r="D46" s="3" t="s">
        <v>167</v>
      </c>
      <c r="E46" t="s">
        <v>142</v>
      </c>
    </row>
    <row r="47" spans="1:5" x14ac:dyDescent="0.25">
      <c r="D47" s="3" t="s">
        <v>168</v>
      </c>
      <c r="E47" t="s">
        <v>137</v>
      </c>
    </row>
    <row r="48" spans="1:5" x14ac:dyDescent="0.25">
      <c r="D48" s="3" t="s">
        <v>169</v>
      </c>
      <c r="E48" t="s">
        <v>124</v>
      </c>
    </row>
    <row r="49" spans="4:5" x14ac:dyDescent="0.25">
      <c r="D49" s="3" t="s">
        <v>170</v>
      </c>
      <c r="E49" t="s">
        <v>135</v>
      </c>
    </row>
    <row r="50" spans="4:5" x14ac:dyDescent="0.25">
      <c r="D50" s="3" t="s">
        <v>171</v>
      </c>
      <c r="E50" t="s">
        <v>114</v>
      </c>
    </row>
    <row r="51" spans="4:5" x14ac:dyDescent="0.25">
      <c r="D51" s="3" t="s">
        <v>172</v>
      </c>
      <c r="E51" t="s">
        <v>132</v>
      </c>
    </row>
    <row r="52" spans="4:5" x14ac:dyDescent="0.25">
      <c r="D52" s="3" t="s">
        <v>173</v>
      </c>
      <c r="E52" t="s">
        <v>117</v>
      </c>
    </row>
    <row r="53" spans="4:5" x14ac:dyDescent="0.25">
      <c r="D53" s="3" t="s">
        <v>174</v>
      </c>
      <c r="E53" t="s">
        <v>140</v>
      </c>
    </row>
    <row r="54" spans="4:5" x14ac:dyDescent="0.25">
      <c r="D54" s="3" t="s">
        <v>175</v>
      </c>
      <c r="E54" t="s">
        <v>146</v>
      </c>
    </row>
    <row r="55" spans="4:5" x14ac:dyDescent="0.25">
      <c r="D55" s="3" t="s">
        <v>176</v>
      </c>
      <c r="E55" t="s">
        <v>134</v>
      </c>
    </row>
    <row r="56" spans="4:5" x14ac:dyDescent="0.25">
      <c r="D56" s="3" t="s">
        <v>177</v>
      </c>
      <c r="E56" t="s">
        <v>144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C9" sqref="C9"/>
    </sheetView>
  </sheetViews>
  <sheetFormatPr defaultColWidth="8.7265625" defaultRowHeight="14" x14ac:dyDescent="0.25"/>
  <cols>
    <col min="1" max="1" width="8.7265625" style="3"/>
    <col min="2" max="2" width="39.90625" style="3" customWidth="1"/>
    <col min="3" max="3" width="50" customWidth="1"/>
    <col min="4" max="4" width="9.54296875" style="3" customWidth="1"/>
  </cols>
  <sheetData>
    <row r="1" spans="1:4" x14ac:dyDescent="0.25">
      <c r="A1" s="3" t="s">
        <v>178</v>
      </c>
      <c r="B1" s="3" t="s">
        <v>179</v>
      </c>
      <c r="C1" t="s">
        <v>180</v>
      </c>
      <c r="D1" s="3" t="s">
        <v>181</v>
      </c>
    </row>
    <row r="2" spans="1:4" x14ac:dyDescent="0.25">
      <c r="A2" s="3">
        <v>1</v>
      </c>
      <c r="B2" s="3" t="s">
        <v>182</v>
      </c>
      <c r="C2" t="s">
        <v>183</v>
      </c>
    </row>
    <row r="3" spans="1:4" x14ac:dyDescent="0.25">
      <c r="A3" s="3">
        <v>2</v>
      </c>
      <c r="B3" s="3" t="s">
        <v>184</v>
      </c>
      <c r="C3" s="25" t="s">
        <v>207</v>
      </c>
    </row>
    <row r="4" spans="1:4" x14ac:dyDescent="0.25">
      <c r="A4" s="3">
        <v>3</v>
      </c>
      <c r="B4" s="3" t="s">
        <v>185</v>
      </c>
      <c r="C4" t="s">
        <v>186</v>
      </c>
      <c r="D4" s="3">
        <v>1</v>
      </c>
    </row>
    <row r="5" spans="1:4" x14ac:dyDescent="0.25">
      <c r="A5" s="3">
        <v>4</v>
      </c>
      <c r="B5" s="3" t="s">
        <v>187</v>
      </c>
      <c r="C5" t="s">
        <v>188</v>
      </c>
      <c r="D5" s="3">
        <v>1</v>
      </c>
    </row>
    <row r="6" spans="1:4" ht="56" x14ac:dyDescent="0.25">
      <c r="A6" s="3">
        <v>5</v>
      </c>
      <c r="B6" s="4" t="s">
        <v>189</v>
      </c>
      <c r="C6" s="24" t="s">
        <v>235</v>
      </c>
    </row>
    <row r="7" spans="1:4" x14ac:dyDescent="0.25">
      <c r="A7" s="3">
        <v>6</v>
      </c>
      <c r="B7" s="3" t="s">
        <v>190</v>
      </c>
      <c r="C7" t="s">
        <v>191</v>
      </c>
    </row>
    <row r="8" spans="1:4" x14ac:dyDescent="0.25">
      <c r="A8" s="3">
        <v>7</v>
      </c>
      <c r="B8" s="3" t="s">
        <v>192</v>
      </c>
      <c r="C8" t="s">
        <v>193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tabSelected="1" workbookViewId="0">
      <selection activeCell="C9" sqref="C9"/>
    </sheetView>
  </sheetViews>
  <sheetFormatPr defaultColWidth="8.7265625" defaultRowHeight="14" x14ac:dyDescent="0.25"/>
  <cols>
    <col min="1" max="1" width="39.453125" customWidth="1"/>
    <col min="2" max="2" width="28.6328125" customWidth="1"/>
    <col min="3" max="3" width="25.36328125" customWidth="1"/>
  </cols>
  <sheetData>
    <row r="1" spans="1:2" x14ac:dyDescent="0.25">
      <c r="A1" s="1" t="s">
        <v>194</v>
      </c>
    </row>
    <row r="2" spans="1:2" ht="42" x14ac:dyDescent="0.25">
      <c r="A2" s="24" t="s">
        <v>196</v>
      </c>
      <c r="B2" s="24" t="s">
        <v>205</v>
      </c>
    </row>
    <row r="4" spans="1:2" x14ac:dyDescent="0.25">
      <c r="A4" s="1" t="s">
        <v>195</v>
      </c>
    </row>
    <row r="5" spans="1:2" ht="56" x14ac:dyDescent="0.25">
      <c r="A5" s="24" t="s">
        <v>197</v>
      </c>
      <c r="B5" s="24" t="s">
        <v>204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功能测试</vt:lpstr>
      <vt:lpstr>性能测试</vt:lpstr>
      <vt:lpstr>测试环境数据类型</vt:lpstr>
      <vt:lpstr>机器配置及环境信息</vt:lpstr>
      <vt:lpstr>配置项调整</vt:lpstr>
      <vt:lpstr>数据迁移</vt:lpstr>
      <vt:lpstr>todo</vt:lpstr>
      <vt:lpstr>VPN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kunlunbase 025</cp:lastModifiedBy>
  <dcterms:created xsi:type="dcterms:W3CDTF">2023-05-12T11:15:00Z</dcterms:created>
  <dcterms:modified xsi:type="dcterms:W3CDTF">2025-06-05T11:58:14Z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486FDD764CB745C59EE8097FAA768428_12</vt:lpwstr>
  </property>
</Properties>
</file>